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firstSheet="1" activeTab="2"/>
  </bookViews>
  <sheets>
    <sheet name="staff resp - fall by occupancy" sheetId="5" r:id="rId1"/>
    <sheet name="staff resp vs benchmark" sheetId="8" r:id="rId2"/>
    <sheet name="Case Study Dataset" sheetId="2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<sst xmlns="http://schemas.openxmlformats.org/spreadsheetml/2006/main" count="27" uniqueCount="25">
  <si>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Row Labels</t>
  </si>
  <si>
    <t>Average of Staff Responsiveness Domain Top Box Score %</t>
  </si>
  <si>
    <t>Average of Unassisted Fall %</t>
  </si>
  <si>
    <t>Grand Total</t>
  </si>
  <si>
    <t>Average of Staff Responsiveness Domain Top Box Score</t>
  </si>
  <si>
    <t>Average of Staff Responsiveness Top Box Score Benchmark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</si>
  <si>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</si>
  <si>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</si>
  <si>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</si>
  <si>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</si>
  <si>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</si>
  <si>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</si>
  <si>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</si>
  <si>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</si>
  <si>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</si>
  <si>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</si>
  <si>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</si>
  <si>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</si>
  <si>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</si>
  <si>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Average Licensed Bed  Occupancy Rate</t>
  </si>
  <si>
    <t>Unassisted Fall Rate per 1,000 Patient Days</t>
  </si>
  <si>
    <t>Staff Responsiveness Domain Top Box Score</t>
  </si>
  <si>
    <t>Unassisted Fall %</t>
  </si>
  <si>
    <t>Staff Responsiveness Domain Top Box Score %</t>
  </si>
  <si>
    <t>Staff Responsiveness Top Box Score Benchmark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</si>
</sst>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3426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/>
    <xf numFmtId="2" fontId="0" fillId="0" borderId="0" xfId="3" applyNumberFormat="1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3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3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9" fontId="0" fillId="0" borderId="0" xfId="0" applyNumberFormat="1" applyAlignment="1">
      <alignment horizontal="left"/>
    </xf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2342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[2.RAW_DATA.xlsx]staff resp - fall by occupancy!PivotTable3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'staff resp - fall by occupancy'!$B$3</c:f>
              <c:strCache>
                <c:ptCount val="1"/>
                <c:pt idx="0">
                  <c:v>Average of Staff Responsiveness Domain Top Box Score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'staff resp - fall by occupancy'!$A$4:$A$15</c:f>
              <c:strCache>
                <c:ptCount val="11"/>
                <c:pt idx="0">
                  <c:v>81%</c:v>
                </c:pt>
                <c:pt idx="1">
                  <c:v>92%</c:v>
                </c:pt>
                <c:pt idx="2">
                  <c:v>93%</c:v>
                </c:pt>
                <c:pt idx="3">
                  <c:v>94%</c:v>
                </c:pt>
                <c:pt idx="4">
                  <c:v>95%</c:v>
                </c:pt>
                <c:pt idx="5">
                  <c:v>96%</c:v>
                </c:pt>
                <c:pt idx="6">
                  <c:v>97%</c:v>
                </c:pt>
                <c:pt idx="7">
                  <c:v>98%</c:v>
                </c:pt>
                <c:pt idx="8">
                  <c:v>99%</c:v>
                </c:pt>
                <c:pt idx="9">
                  <c:v>100%</c:v>
                </c:pt>
                <c:pt idx="10">
                  <c:v>101%</c:v>
                </c:pt>
              </c:strCache>
            </c:strRef>
          </c:cat>
          <c:val>
            <c:numRef>
              <c:f>'staff resp - fall by occupancy'!$B$4:$B$15</c:f>
              <c:numCache>
                <c:formatCode>0.00%</c:formatCode>
                <c:ptCount val="11"/>
                <c:pt idx="0">
                  <c:v>0.6707</c:v>
                </c:pt>
                <c:pt idx="1">
                  <c:v>0.6755</c:v>
                </c:pt>
                <c:pt idx="2">
                  <c:v>0.6613</c:v>
                </c:pt>
                <c:pt idx="3">
                  <c:v>0.649385714285714</c:v>
                </c:pt>
                <c:pt idx="4">
                  <c:v>0.636107692307692</c:v>
                </c:pt>
                <c:pt idx="5">
                  <c:v>0.645823076923077</c:v>
                </c:pt>
                <c:pt idx="6">
                  <c:v>0.5939</c:v>
                </c:pt>
                <c:pt idx="7">
                  <c:v>0.61993</c:v>
                </c:pt>
                <c:pt idx="8">
                  <c:v>0.604414285714286</c:v>
                </c:pt>
                <c:pt idx="9">
                  <c:v>0.6307</c:v>
                </c:pt>
                <c:pt idx="10">
                  <c:v>0.58045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'staff resp - fall by occupancy'!$C$3</c:f>
              <c:strCache>
                <c:ptCount val="1"/>
                <c:pt idx="0">
                  <c:v>Average of Unassisted Fall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'staff resp - fall by occupancy'!$A$4:$A$15</c:f>
              <c:strCache>
                <c:ptCount val="11"/>
                <c:pt idx="0">
                  <c:v>81%</c:v>
                </c:pt>
                <c:pt idx="1">
                  <c:v>92%</c:v>
                </c:pt>
                <c:pt idx="2">
                  <c:v>93%</c:v>
                </c:pt>
                <c:pt idx="3">
                  <c:v>94%</c:v>
                </c:pt>
                <c:pt idx="4">
                  <c:v>95%</c:v>
                </c:pt>
                <c:pt idx="5">
                  <c:v>96%</c:v>
                </c:pt>
                <c:pt idx="6">
                  <c:v>97%</c:v>
                </c:pt>
                <c:pt idx="7">
                  <c:v>98%</c:v>
                </c:pt>
                <c:pt idx="8">
                  <c:v>99%</c:v>
                </c:pt>
                <c:pt idx="9">
                  <c:v>100%</c:v>
                </c:pt>
                <c:pt idx="10">
                  <c:v>101%</c:v>
                </c:pt>
              </c:strCache>
            </c:strRef>
          </c:cat>
          <c:val>
            <c:numRef>
              <c:f>'staff resp - fall by occupancy'!$C$4:$C$15</c:f>
              <c:numCache>
                <c:formatCode>0.00%</c:formatCode>
                <c:ptCount val="11"/>
                <c:pt idx="0">
                  <c:v>0.103</c:v>
                </c:pt>
                <c:pt idx="1">
                  <c:v>0.16</c:v>
                </c:pt>
                <c:pt idx="2">
                  <c:v>0.205</c:v>
                </c:pt>
                <c:pt idx="3">
                  <c:v>0.254</c:v>
                </c:pt>
                <c:pt idx="4">
                  <c:v>0.235307692307692</c:v>
                </c:pt>
                <c:pt idx="5">
                  <c:v>0.246076923076923</c:v>
                </c:pt>
                <c:pt idx="6">
                  <c:v>0.305333333333333</c:v>
                </c:pt>
                <c:pt idx="7">
                  <c:v>0.2848</c:v>
                </c:pt>
                <c:pt idx="8">
                  <c:v>0.303</c:v>
                </c:pt>
                <c:pt idx="9">
                  <c:v>0.292</c:v>
                </c:pt>
                <c:pt idx="10">
                  <c:v>0.337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33775"/>
        <c:axId val="172046735"/>
      </c:lineChart>
      <c:catAx>
        <c:axId val="17203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046735"/>
        <c:crosses val="autoZero"/>
        <c:auto val="1"/>
        <c:lblAlgn val="ctr"/>
        <c:lblOffset val="100"/>
        <c:noMultiLvlLbl val="0"/>
      </c:catAx>
      <c:valAx>
        <c:axId val="1720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03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9919ed-d9f2-479e-86ec-c90653a116bb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[2.RAW_DATA.xlsx]staff resp vs benchmark!PivotTable5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'staff resp vs benchmark'!$B$3</c:f>
              <c:strCache>
                <c:ptCount val="1"/>
                <c:pt idx="0">
                  <c:v>Average of Staff Responsiveness Domain Top Box Score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'staff resp vs benchmark'!$A$4:$A$16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'staff resp vs benchmark'!$B$4:$B$16</c:f>
              <c:numCache>
                <c:formatCode>0.00</c:formatCode>
                <c:ptCount val="12"/>
                <c:pt idx="0">
                  <c:v>61.34</c:v>
                </c:pt>
                <c:pt idx="1">
                  <c:v>62.802</c:v>
                </c:pt>
                <c:pt idx="2">
                  <c:v>63.082</c:v>
                </c:pt>
                <c:pt idx="3">
                  <c:v>66.052</c:v>
                </c:pt>
                <c:pt idx="4">
                  <c:v>63.762</c:v>
                </c:pt>
                <c:pt idx="5">
                  <c:v>63.114</c:v>
                </c:pt>
                <c:pt idx="6">
                  <c:v>64.384</c:v>
                </c:pt>
                <c:pt idx="7">
                  <c:v>65.742</c:v>
                </c:pt>
                <c:pt idx="8">
                  <c:v>60.336</c:v>
                </c:pt>
                <c:pt idx="9">
                  <c:v>64.04</c:v>
                </c:pt>
                <c:pt idx="10">
                  <c:v>61.53</c:v>
                </c:pt>
                <c:pt idx="11">
                  <c:v>60.866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'staff resp vs benchmark'!$C$3</c:f>
              <c:strCache>
                <c:ptCount val="1"/>
                <c:pt idx="0">
                  <c:v>Average of Staff Responsiveness Top Box Score Benchmark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'staff resp vs benchmark'!$A$4:$A$16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'staff resp vs benchmark'!$C$4:$C$16</c:f>
              <c:numCache>
                <c:formatCode>General</c:formatCode>
                <c:ptCount val="12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859343"/>
        <c:axId val="200856943"/>
      </c:lineChart>
      <c:catAx>
        <c:axId val="20085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856943"/>
        <c:crosses val="autoZero"/>
        <c:auto val="1"/>
        <c:lblAlgn val="ctr"/>
        <c:lblOffset val="100"/>
        <c:noMultiLvlLbl val="0"/>
      </c:catAx>
      <c:valAx>
        <c:axId val="20085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85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a45c12-c80f-4b06-8446-d48aa8ed60c3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536574</xdr:colOff>
      <xdr:row>2</xdr:row>
      <xdr:rowOff>82550</xdr:rowOff>
    </xdr:from>
    <xdr:to>
      <xdr:col>16</xdr:col>
      <xdr:colOff>57149</xdr:colOff>
      <xdr:row>22</xdr:row>
      <xdr:rowOff>19050</xdr:rowOff>
    </xdr:to>
    <xdr:graphicFrame>
      <xdr:nvGraphicFramePr>
        <xdr:cNvPr id="2" name="Chart 1"/>
        <xdr:cNvGraphicFramePr/>
      </xdr:nvGraphicFramePr>
      <xdr:xfrm>
        <a:off x="8808085" y="448310"/>
        <a:ext cx="6309995" cy="359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536574</xdr:colOff>
      <xdr:row>2</xdr:row>
      <xdr:rowOff>82550</xdr:rowOff>
    </xdr:from>
    <xdr:to>
      <xdr:col>19</xdr:col>
      <xdr:colOff>431800</xdr:colOff>
      <xdr:row>24</xdr:row>
      <xdr:rowOff>152400</xdr:rowOff>
    </xdr:to>
    <xdr:graphicFrame>
      <xdr:nvGraphicFramePr>
        <xdr:cNvPr id="2" name="Chart 1"/>
        <xdr:cNvGraphicFramePr/>
      </xdr:nvGraphicFramePr>
      <xdr:xfrm>
        <a:off x="9356725" y="448310"/>
        <a:ext cx="8536940" cy="4093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676.6762951389" refreshedBy="Malathy Prakash" recordCount="60">
  <cacheSource type="worksheet">
    <worksheetSource ref="A1:F61" sheet="Case Study Dataset"/>
  </cacheSource>
  <cacheFields count="9">
    <cacheField name="Month" numFmtId="17">
      <sharedItems containsSemiMixedTypes="0" containsString="0" containsNonDate="0" containsDate="1" minDate="2020-01-01T00:00:00" maxDate="2024-12-01T00:00:00" count="60"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Average Licensed Bed  Occupancy Rate" numFmtId="9">
      <sharedItems containsSemiMixedTypes="0" containsString="0" containsNumber="1" minValue="0" maxValue="1.01" count="11">
        <n v="0.96"/>
        <n v="0.81"/>
        <n v="0.94"/>
        <n v="1.01"/>
        <n v="0.98"/>
        <n v="0.95"/>
        <n v="0.92"/>
        <n v="1"/>
        <n v="0.99"/>
        <n v="0.93"/>
        <n v="0.97"/>
      </sharedItems>
    </cacheField>
    <cacheField name="Unassisted Fall Rate per 1,000 Patient Days" numFmtId="0"/>
    <cacheField name="Staff Responsiveness Domain Top Box Score" numFmtId="2"/>
    <cacheField name="Unassisted Fall %" numFmtId="0"/>
    <cacheField name="Staff Responsiveness Domain Top Box Score %" numFmtId="0"/>
    <cacheField name="Months (Month)" numFmtId="0" databaseField="0">
      <fieldGroup base="0">
        <rangePr groupBy="months" startDate="2020-01-01T00:00:00" endDate="2024-12-02T00:00:00" groupInterval="1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4"/>
        </groupItems>
      </fieldGroup>
    </cacheField>
    <cacheField name="Quarters (Month)" numFmtId="0" databaseField="0">
      <fieldGroup base="0">
        <rangePr groupBy="quarters" startDate="2020-01-01T00:00:00" endDate="2024-12-02T00:00:00" groupInterval="1"/>
        <groupItems count="6">
          <s v="&lt;1/1/2020"/>
          <s v="Qtr1"/>
          <s v="Qtr2"/>
          <s v="Qtr3"/>
          <s v="Qtr4"/>
          <s v="&gt;12/2/2024"/>
        </groupItems>
      </fieldGroup>
    </cacheField>
    <cacheField name="Years (Month)" numFmtId="0" databaseField="0">
      <fieldGroup base="0">
        <rangePr groupBy="years" startDate="2020-01-01T00:00:00" endDate="2024-12-02T00:00:00" groupInterval="1"/>
        <groupItems count="7">
          <s v="&lt;1/1/2020"/>
          <s v="2020"/>
          <s v="2021"/>
          <s v="2022"/>
          <s v="2023"/>
          <s v="2024"/>
          <s v="&gt;12/2/2024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677.2649915509" refreshedBy="Malathy Prakash" recordCount="60">
  <cacheSource type="worksheet">
    <worksheetSource ref="A1:G61" sheet="Case Study Dataset"/>
  </cacheSource>
  <cacheFields count="10">
    <cacheField name="Month" numFmtId="17">
      <sharedItems containsSemiMixedTypes="0" containsString="0" containsNonDate="0" containsDate="1" minDate="2020-01-01T00:00:00" maxDate="2024-12-01T00:00:00" count="60"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Average Licensed Bed  Occupancy Rate" numFmtId="9"/>
    <cacheField name="Unassisted Fall Rate per 1,000 Patient Days" numFmtId="0"/>
    <cacheField name="Staff Responsiveness Domain Top Box Score" numFmtId="2"/>
    <cacheField name="Unassisted Fall %" numFmtId="0"/>
    <cacheField name="Staff Responsiveness Domain Top Box Score %" numFmtId="0"/>
    <cacheField name="Staff Responsiveness Top Box Score Benchmark" numFmtId="0"/>
    <cacheField name="Months (Month)" numFmtId="0" databaseField="0">
      <fieldGroup base="0">
        <rangePr groupBy="months" startDate="2020-01-01T00:00:00" endDate="2024-12-02T00:00:00" groupInterval="1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4"/>
        </groupItems>
      </fieldGroup>
    </cacheField>
    <cacheField name="Quarters (Month)" numFmtId="0" databaseField="0">
      <fieldGroup base="0">
        <rangePr groupBy="quarters" startDate="2020-01-01T00:00:00" endDate="2024-12-02T00:00:00" groupInterval="1"/>
        <groupItems count="6">
          <s v="&lt;1/1/2020"/>
          <s v="Qtr1"/>
          <s v="Qtr2"/>
          <s v="Qtr3"/>
          <s v="Qtr4"/>
          <s v="&gt;12/2/2024"/>
        </groupItems>
      </fieldGroup>
    </cacheField>
    <cacheField name="Years (Month)" numFmtId="0" databaseField="0">
      <fieldGroup base="0">
        <rangePr groupBy="years" startDate="2020-01-01T00:00:00" endDate="2024-12-02T00:00:00" groupInterval="1"/>
        <groupItems count="7">
          <s v="&lt;1/1/2020"/>
          <s v="2020"/>
          <s v="2021"/>
          <s v="2022"/>
          <s v="2023"/>
          <s v="2024"/>
          <s v="&gt;12/2/2024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2.21"/>
    <n v="68.34"/>
    <n v="0.22100000000000003"/>
    <n v="0.68340000000000001"/>
  </r>
  <r>
    <x v="1"/>
    <x v="0"/>
    <n v="1.79"/>
    <n v="72.75"/>
    <n v="0.17900000000000002"/>
    <n v="0.72750000000000004"/>
  </r>
  <r>
    <x v="2"/>
    <x v="1"/>
    <n v="1.03"/>
    <n v="67.069999999999993"/>
    <n v="0.10300000000000001"/>
    <n v="0.67069999999999996"/>
  </r>
  <r>
    <x v="3"/>
    <x v="2"/>
    <n v="1.97"/>
    <n v="71.209999999999994"/>
    <n v="0.19700000000000001"/>
    <n v="0.71209999999999996"/>
  </r>
  <r>
    <x v="4"/>
    <x v="3"/>
    <n v="3.41"/>
    <n v="57.68"/>
    <n v="0.34100000000000003"/>
    <n v="0.57679999999999998"/>
  </r>
  <r>
    <x v="5"/>
    <x v="4"/>
    <n v="2.61"/>
    <n v="67.86"/>
    <n v="0.26100000000000001"/>
    <n v="0.67859999999999998"/>
  </r>
  <r>
    <x v="6"/>
    <x v="5"/>
    <n v="2.42"/>
    <n v="66.09"/>
    <n v="0.24199999999999999"/>
    <n v="0.66090000000000004"/>
  </r>
  <r>
    <x v="7"/>
    <x v="2"/>
    <n v="2.09"/>
    <n v="70.38"/>
    <n v="0.20899999999999999"/>
    <n v="0.70379999999999998"/>
  </r>
  <r>
    <x v="8"/>
    <x v="5"/>
    <n v="3.11"/>
    <n v="53.31"/>
    <n v="0.311"/>
    <n v="0.53310000000000002"/>
  </r>
  <r>
    <x v="9"/>
    <x v="6"/>
    <n v="1.6"/>
    <n v="67.55"/>
    <n v="0.16"/>
    <n v="0.67549999999999999"/>
  </r>
  <r>
    <x v="10"/>
    <x v="5"/>
    <n v="2.31"/>
    <n v="60.35"/>
    <n v="0.23100000000000001"/>
    <n v="0.60350000000000004"/>
  </r>
  <r>
    <x v="11"/>
    <x v="4"/>
    <n v="2.4700000000000002"/>
    <n v="61.33"/>
    <n v="0.24700000000000005"/>
    <n v="0.61329999999999996"/>
  </r>
  <r>
    <x v="12"/>
    <x v="7"/>
    <n v="3.03"/>
    <n v="61.06"/>
    <n v="0.30299999999999999"/>
    <n v="0.61060000000000003"/>
  </r>
  <r>
    <x v="13"/>
    <x v="8"/>
    <n v="2.35"/>
    <n v="65.23"/>
    <n v="0.23500000000000001"/>
    <n v="0.65229999999999999"/>
  </r>
  <r>
    <x v="14"/>
    <x v="5"/>
    <n v="2.4700000000000002"/>
    <n v="64.02"/>
    <n v="0.24700000000000005"/>
    <n v="0.64019999999999999"/>
  </r>
  <r>
    <x v="15"/>
    <x v="0"/>
    <n v="1.94"/>
    <n v="70.11"/>
    <n v="0.19399999999999998"/>
    <n v="0.70109999999999995"/>
  </r>
  <r>
    <x v="16"/>
    <x v="2"/>
    <n v="2.54"/>
    <n v="68.16"/>
    <n v="0.254"/>
    <n v="0.68159999999999998"/>
  </r>
  <r>
    <x v="17"/>
    <x v="2"/>
    <n v="3.17"/>
    <n v="54.38"/>
    <n v="0.317"/>
    <n v="0.54380000000000006"/>
  </r>
  <r>
    <x v="18"/>
    <x v="2"/>
    <n v="2.79"/>
    <n v="64"/>
    <n v="0.27899999999999997"/>
    <n v="0.64"/>
  </r>
  <r>
    <x v="19"/>
    <x v="9"/>
    <n v="2.0499999999999998"/>
    <n v="66.13"/>
    <n v="0.20499999999999996"/>
    <n v="0.6613"/>
  </r>
  <r>
    <x v="20"/>
    <x v="10"/>
    <n v="3.34"/>
    <n v="55.17"/>
    <n v="0.33399999999999996"/>
    <n v="0.55169999999999997"/>
  </r>
  <r>
    <x v="21"/>
    <x v="5"/>
    <n v="2.44"/>
    <n v="64.03"/>
    <n v="0.24399999999999999"/>
    <n v="0.64029999999999998"/>
  </r>
  <r>
    <x v="22"/>
    <x v="0"/>
    <n v="2.31"/>
    <n v="64.12"/>
    <n v="0.23100000000000001"/>
    <n v="0.64119999999999999"/>
  </r>
  <r>
    <x v="23"/>
    <x v="4"/>
    <n v="2.57"/>
    <n v="60.42"/>
    <n v="0.25700000000000001"/>
    <n v="0.60420000000000007"/>
  </r>
  <r>
    <x v="24"/>
    <x v="3"/>
    <n v="3.33"/>
    <n v="58.41"/>
    <n v="0.33300000000000002"/>
    <n v="0.58409999999999995"/>
  </r>
  <r>
    <x v="25"/>
    <x v="8"/>
    <n v="3.19"/>
    <n v="59.77"/>
    <n v="0.31900000000000001"/>
    <n v="0.59770000000000001"/>
  </r>
  <r>
    <x v="26"/>
    <x v="0"/>
    <n v="2.78"/>
    <n v="61.32"/>
    <n v="0.27799999999999997"/>
    <n v="0.61319999999999997"/>
  </r>
  <r>
    <x v="27"/>
    <x v="0"/>
    <n v="2.91"/>
    <n v="60.18"/>
    <n v="0.29100000000000004"/>
    <n v="0.6018"/>
  </r>
  <r>
    <x v="28"/>
    <x v="5"/>
    <n v="2.4900000000000002"/>
    <n v="63.07"/>
    <n v="0.249"/>
    <n v="0.63070000000000004"/>
  </r>
  <r>
    <x v="29"/>
    <x v="5"/>
    <n v="2.31"/>
    <n v="63.11"/>
    <n v="0.23100000000000001"/>
    <n v="0.63109999999999999"/>
  </r>
  <r>
    <x v="30"/>
    <x v="0"/>
    <n v="2.4300000000000002"/>
    <n v="61.03"/>
    <n v="0.24300000000000002"/>
    <n v="0.61030000000000006"/>
  </r>
  <r>
    <x v="31"/>
    <x v="0"/>
    <n v="3.13"/>
    <n v="59.97"/>
    <n v="0.313"/>
    <n v="0.59970000000000001"/>
  </r>
  <r>
    <x v="32"/>
    <x v="5"/>
    <n v="2.81"/>
    <n v="61.53"/>
    <n v="0.28100000000000003"/>
    <n v="0.61529999999999996"/>
  </r>
  <r>
    <x v="33"/>
    <x v="0"/>
    <n v="2.0699999999999998"/>
    <n v="64.16"/>
    <n v="0.20699999999999999"/>
    <n v="0.64159999999999995"/>
  </r>
  <r>
    <x v="34"/>
    <x v="10"/>
    <n v="3.11"/>
    <n v="57.29"/>
    <n v="0.311"/>
    <n v="0.57289999999999996"/>
  </r>
  <r>
    <x v="35"/>
    <x v="4"/>
    <n v="3.21"/>
    <n v="57.18"/>
    <n v="0.32100000000000001"/>
    <n v="0.57179999999999997"/>
  </r>
  <r>
    <x v="36"/>
    <x v="8"/>
    <n v="3.17"/>
    <n v="58.22"/>
    <n v="0.317"/>
    <n v="0.58219999999999994"/>
  </r>
  <r>
    <x v="37"/>
    <x v="8"/>
    <n v="3.39"/>
    <n v="57.12"/>
    <n v="0.33900000000000002"/>
    <n v="0.57119999999999993"/>
  </r>
  <r>
    <x v="38"/>
    <x v="4"/>
    <n v="3.03"/>
    <n v="59.45"/>
    <n v="0.30299999999999999"/>
    <n v="0.59450000000000003"/>
  </r>
  <r>
    <x v="39"/>
    <x v="0"/>
    <n v="2.73"/>
    <n v="62.57"/>
    <n v="0.27299999999999996"/>
    <n v="0.62570000000000003"/>
  </r>
  <r>
    <x v="40"/>
    <x v="2"/>
    <n v="2.89"/>
    <n v="62.89"/>
    <n v="0.28900000000000003"/>
    <n v="0.62890000000000001"/>
  </r>
  <r>
    <x v="41"/>
    <x v="0"/>
    <n v="2.5499999999999998"/>
    <n v="63.69"/>
    <n v="0.25499999999999995"/>
    <n v="0.63690000000000002"/>
  </r>
  <r>
    <x v="42"/>
    <x v="5"/>
    <n v="2.42"/>
    <n v="64.930000000000007"/>
    <n v="0.24199999999999999"/>
    <n v="0.6493000000000001"/>
  </r>
  <r>
    <x v="43"/>
    <x v="5"/>
    <n v="2.0299999999999998"/>
    <n v="66.77"/>
    <n v="0.20299999999999996"/>
    <n v="0.66769999999999996"/>
  </r>
  <r>
    <x v="44"/>
    <x v="4"/>
    <n v="2.56"/>
    <n v="65.959999999999994"/>
    <n v="0.25600000000000001"/>
    <n v="0.65959999999999996"/>
  </r>
  <r>
    <x v="45"/>
    <x v="4"/>
    <n v="3.07"/>
    <n v="60.44"/>
    <n v="0.307"/>
    <n v="0.60439999999999994"/>
  </r>
  <r>
    <x v="46"/>
    <x v="8"/>
    <n v="2.99"/>
    <n v="61.76"/>
    <n v="0.29899999999999999"/>
    <n v="0.61759999999999993"/>
  </r>
  <r>
    <x v="47"/>
    <x v="8"/>
    <n v="3.03"/>
    <n v="60.32"/>
    <n v="0.30299999999999999"/>
    <n v="0.60319999999999996"/>
  </r>
  <r>
    <x v="48"/>
    <x v="8"/>
    <n v="3.09"/>
    <n v="60.67"/>
    <n v="0.309"/>
    <n v="0.60670000000000002"/>
  </r>
  <r>
    <x v="49"/>
    <x v="4"/>
    <n v="3.15"/>
    <n v="59.14"/>
    <n v="0.315"/>
    <n v="0.59140000000000004"/>
  </r>
  <r>
    <x v="50"/>
    <x v="2"/>
    <n v="2.33"/>
    <n v="63.55"/>
    <n v="0.23300000000000001"/>
    <n v="0.63549999999999995"/>
  </r>
  <r>
    <x v="51"/>
    <x v="5"/>
    <n v="2.0099999999999998"/>
    <n v="66.19"/>
    <n v="0.20099999999999996"/>
    <n v="0.66189999999999993"/>
  </r>
  <r>
    <x v="52"/>
    <x v="5"/>
    <n v="1.79"/>
    <n v="67.010000000000005"/>
    <n v="0.17900000000000002"/>
    <n v="0.67010000000000003"/>
  </r>
  <r>
    <x v="53"/>
    <x v="5"/>
    <n v="1.98"/>
    <n v="66.53"/>
    <n v="0.19800000000000001"/>
    <n v="0.6653"/>
  </r>
  <r>
    <x v="54"/>
    <x v="0"/>
    <n v="2.5099999999999998"/>
    <n v="65.87"/>
    <n v="0.25099999999999995"/>
    <n v="0.65870000000000006"/>
  </r>
  <r>
    <x v="55"/>
    <x v="0"/>
    <n v="2.63"/>
    <n v="65.459999999999994"/>
    <n v="0.26300000000000001"/>
    <n v="0.65459999999999996"/>
  </r>
  <r>
    <x v="56"/>
    <x v="10"/>
    <n v="2.71"/>
    <n v="65.709999999999994"/>
    <n v="0.27100000000000002"/>
    <n v="0.65709999999999991"/>
  </r>
  <r>
    <x v="57"/>
    <x v="4"/>
    <n v="2.97"/>
    <n v="64.02"/>
    <n v="0.29699999999999999"/>
    <n v="0.64019999999999999"/>
  </r>
  <r>
    <x v="58"/>
    <x v="4"/>
    <n v="2.84"/>
    <n v="64.13"/>
    <n v="0.28399999999999997"/>
    <n v="0.64129999999999998"/>
  </r>
  <r>
    <x v="59"/>
    <x v="7"/>
    <n v="2.81"/>
    <n v="65.08"/>
    <n v="0.28100000000000003"/>
    <n v="0.65079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0.96"/>
    <n v="2.21"/>
    <n v="68.34"/>
    <n v="0.22100000000000003"/>
    <n v="0.68340000000000001"/>
    <n v="65"/>
  </r>
  <r>
    <x v="1"/>
    <n v="0.96"/>
    <n v="1.79"/>
    <n v="72.75"/>
    <n v="0.17900000000000002"/>
    <n v="0.72750000000000004"/>
    <n v="65"/>
  </r>
  <r>
    <x v="2"/>
    <n v="0.81"/>
    <n v="1.03"/>
    <n v="67.069999999999993"/>
    <n v="0.10300000000000001"/>
    <n v="0.67069999999999996"/>
    <n v="65"/>
  </r>
  <r>
    <x v="3"/>
    <n v="0.94"/>
    <n v="1.97"/>
    <n v="71.209999999999994"/>
    <n v="0.19700000000000001"/>
    <n v="0.71209999999999996"/>
    <n v="65"/>
  </r>
  <r>
    <x v="4"/>
    <n v="1.01"/>
    <n v="3.41"/>
    <n v="57.68"/>
    <n v="0.34100000000000003"/>
    <n v="0.57679999999999998"/>
    <n v="65"/>
  </r>
  <r>
    <x v="5"/>
    <n v="0.98"/>
    <n v="2.61"/>
    <n v="67.86"/>
    <n v="0.26100000000000001"/>
    <n v="0.67859999999999998"/>
    <n v="65"/>
  </r>
  <r>
    <x v="6"/>
    <n v="0.95"/>
    <n v="2.42"/>
    <n v="66.09"/>
    <n v="0.24199999999999999"/>
    <n v="0.66090000000000004"/>
    <n v="65"/>
  </r>
  <r>
    <x v="7"/>
    <n v="0.94"/>
    <n v="2.09"/>
    <n v="70.38"/>
    <n v="0.20899999999999999"/>
    <n v="0.70379999999999998"/>
    <n v="65"/>
  </r>
  <r>
    <x v="8"/>
    <n v="0.95"/>
    <n v="3.11"/>
    <n v="53.31"/>
    <n v="0.311"/>
    <n v="0.53310000000000002"/>
    <n v="65"/>
  </r>
  <r>
    <x v="9"/>
    <n v="0.92"/>
    <n v="1.6"/>
    <n v="67.55"/>
    <n v="0.16"/>
    <n v="0.67549999999999999"/>
    <n v="65"/>
  </r>
  <r>
    <x v="10"/>
    <n v="0.95"/>
    <n v="2.31"/>
    <n v="60.35"/>
    <n v="0.23100000000000001"/>
    <n v="0.60350000000000004"/>
    <n v="65"/>
  </r>
  <r>
    <x v="11"/>
    <n v="0.98"/>
    <n v="2.4700000000000002"/>
    <n v="61.33"/>
    <n v="0.24700000000000005"/>
    <n v="0.61329999999999996"/>
    <n v="65"/>
  </r>
  <r>
    <x v="12"/>
    <n v="1"/>
    <n v="3.03"/>
    <n v="61.06"/>
    <n v="0.30299999999999999"/>
    <n v="0.61060000000000003"/>
    <n v="65"/>
  </r>
  <r>
    <x v="13"/>
    <n v="0.99"/>
    <n v="2.35"/>
    <n v="65.23"/>
    <n v="0.23500000000000001"/>
    <n v="0.65229999999999999"/>
    <n v="65"/>
  </r>
  <r>
    <x v="14"/>
    <n v="0.95"/>
    <n v="2.4700000000000002"/>
    <n v="64.02"/>
    <n v="0.24700000000000005"/>
    <n v="0.64019999999999999"/>
    <n v="65"/>
  </r>
  <r>
    <x v="15"/>
    <n v="0.96"/>
    <n v="1.94"/>
    <n v="70.11"/>
    <n v="0.19399999999999998"/>
    <n v="0.70109999999999995"/>
    <n v="65"/>
  </r>
  <r>
    <x v="16"/>
    <n v="0.94"/>
    <n v="2.54"/>
    <n v="68.16"/>
    <n v="0.254"/>
    <n v="0.68159999999999998"/>
    <n v="65"/>
  </r>
  <r>
    <x v="17"/>
    <n v="0.94"/>
    <n v="3.17"/>
    <n v="54.38"/>
    <n v="0.317"/>
    <n v="0.54380000000000006"/>
    <n v="65"/>
  </r>
  <r>
    <x v="18"/>
    <n v="0.94"/>
    <n v="2.79"/>
    <n v="64"/>
    <n v="0.27899999999999997"/>
    <n v="0.64"/>
    <n v="65"/>
  </r>
  <r>
    <x v="19"/>
    <n v="0.93"/>
    <n v="2.0499999999999998"/>
    <n v="66.13"/>
    <n v="0.20499999999999996"/>
    <n v="0.6613"/>
    <n v="65"/>
  </r>
  <r>
    <x v="20"/>
    <n v="0.97"/>
    <n v="3.34"/>
    <n v="55.17"/>
    <n v="0.33399999999999996"/>
    <n v="0.55169999999999997"/>
    <n v="65"/>
  </r>
  <r>
    <x v="21"/>
    <n v="0.95"/>
    <n v="2.44"/>
    <n v="64.03"/>
    <n v="0.24399999999999999"/>
    <n v="0.64029999999999998"/>
    <n v="65"/>
  </r>
  <r>
    <x v="22"/>
    <n v="0.96"/>
    <n v="2.31"/>
    <n v="64.12"/>
    <n v="0.23100000000000001"/>
    <n v="0.64119999999999999"/>
    <n v="65"/>
  </r>
  <r>
    <x v="23"/>
    <n v="0.98"/>
    <n v="2.57"/>
    <n v="60.42"/>
    <n v="0.25700000000000001"/>
    <n v="0.60420000000000007"/>
    <n v="65"/>
  </r>
  <r>
    <x v="24"/>
    <n v="1.01"/>
    <n v="3.33"/>
    <n v="58.41"/>
    <n v="0.33300000000000002"/>
    <n v="0.58409999999999995"/>
    <n v="65"/>
  </r>
  <r>
    <x v="25"/>
    <n v="0.99"/>
    <n v="3.19"/>
    <n v="59.77"/>
    <n v="0.31900000000000001"/>
    <n v="0.59770000000000001"/>
    <n v="65"/>
  </r>
  <r>
    <x v="26"/>
    <n v="0.96"/>
    <n v="2.78"/>
    <n v="61.32"/>
    <n v="0.27799999999999997"/>
    <n v="0.61319999999999997"/>
    <n v="65"/>
  </r>
  <r>
    <x v="27"/>
    <n v="0.96"/>
    <n v="2.91"/>
    <n v="60.18"/>
    <n v="0.29100000000000004"/>
    <n v="0.6018"/>
    <n v="65"/>
  </r>
  <r>
    <x v="28"/>
    <n v="0.95"/>
    <n v="2.4900000000000002"/>
    <n v="63.07"/>
    <n v="0.249"/>
    <n v="0.63070000000000004"/>
    <n v="65"/>
  </r>
  <r>
    <x v="29"/>
    <n v="0.95"/>
    <n v="2.31"/>
    <n v="63.11"/>
    <n v="0.23100000000000001"/>
    <n v="0.63109999999999999"/>
    <n v="65"/>
  </r>
  <r>
    <x v="30"/>
    <n v="0.96"/>
    <n v="2.4300000000000002"/>
    <n v="61.03"/>
    <n v="0.24300000000000002"/>
    <n v="0.61030000000000006"/>
    <n v="65"/>
  </r>
  <r>
    <x v="31"/>
    <n v="0.96"/>
    <n v="3.13"/>
    <n v="59.97"/>
    <n v="0.313"/>
    <n v="0.59970000000000001"/>
    <n v="65"/>
  </r>
  <r>
    <x v="32"/>
    <n v="0.95"/>
    <n v="2.81"/>
    <n v="61.53"/>
    <n v="0.28100000000000003"/>
    <n v="0.61529999999999996"/>
    <n v="65"/>
  </r>
  <r>
    <x v="33"/>
    <n v="0.96"/>
    <n v="2.0699999999999998"/>
    <n v="64.16"/>
    <n v="0.20699999999999999"/>
    <n v="0.64159999999999995"/>
    <n v="65"/>
  </r>
  <r>
    <x v="34"/>
    <n v="0.97"/>
    <n v="3.11"/>
    <n v="57.29"/>
    <n v="0.311"/>
    <n v="0.57289999999999996"/>
    <n v="65"/>
  </r>
  <r>
    <x v="35"/>
    <n v="0.98"/>
    <n v="3.21"/>
    <n v="57.18"/>
    <n v="0.32100000000000001"/>
    <n v="0.57179999999999997"/>
    <n v="65"/>
  </r>
  <r>
    <x v="36"/>
    <n v="0.99"/>
    <n v="3.17"/>
    <n v="58.22"/>
    <n v="0.317"/>
    <n v="0.58219999999999994"/>
    <n v="65"/>
  </r>
  <r>
    <x v="37"/>
    <n v="0.99"/>
    <n v="3.39"/>
    <n v="57.12"/>
    <n v="0.33900000000000002"/>
    <n v="0.57119999999999993"/>
    <n v="65"/>
  </r>
  <r>
    <x v="38"/>
    <n v="0.98"/>
    <n v="3.03"/>
    <n v="59.45"/>
    <n v="0.30299999999999999"/>
    <n v="0.59450000000000003"/>
    <n v="65"/>
  </r>
  <r>
    <x v="39"/>
    <n v="0.96"/>
    <n v="2.73"/>
    <n v="62.57"/>
    <n v="0.27299999999999996"/>
    <n v="0.62570000000000003"/>
    <n v="65"/>
  </r>
  <r>
    <x v="40"/>
    <n v="0.94"/>
    <n v="2.89"/>
    <n v="62.89"/>
    <n v="0.28900000000000003"/>
    <n v="0.62890000000000001"/>
    <n v="65"/>
  </r>
  <r>
    <x v="41"/>
    <n v="0.96"/>
    <n v="2.5499999999999998"/>
    <n v="63.69"/>
    <n v="0.25499999999999995"/>
    <n v="0.63690000000000002"/>
    <n v="65"/>
  </r>
  <r>
    <x v="42"/>
    <n v="0.95"/>
    <n v="2.42"/>
    <n v="64.930000000000007"/>
    <n v="0.24199999999999999"/>
    <n v="0.6493000000000001"/>
    <n v="65"/>
  </r>
  <r>
    <x v="43"/>
    <n v="0.95"/>
    <n v="2.0299999999999998"/>
    <n v="66.77"/>
    <n v="0.20299999999999996"/>
    <n v="0.66769999999999996"/>
    <n v="65"/>
  </r>
  <r>
    <x v="44"/>
    <n v="0.98"/>
    <n v="2.56"/>
    <n v="65.959999999999994"/>
    <n v="0.25600000000000001"/>
    <n v="0.65959999999999996"/>
    <n v="65"/>
  </r>
  <r>
    <x v="45"/>
    <n v="0.98"/>
    <n v="3.07"/>
    <n v="60.44"/>
    <n v="0.307"/>
    <n v="0.60439999999999994"/>
    <n v="65"/>
  </r>
  <r>
    <x v="46"/>
    <n v="0.99"/>
    <n v="2.99"/>
    <n v="61.76"/>
    <n v="0.29899999999999999"/>
    <n v="0.61759999999999993"/>
    <n v="65"/>
  </r>
  <r>
    <x v="47"/>
    <n v="0.99"/>
    <n v="3.03"/>
    <n v="60.32"/>
    <n v="0.30299999999999999"/>
    <n v="0.60319999999999996"/>
    <n v="65"/>
  </r>
  <r>
    <x v="48"/>
    <n v="0.99"/>
    <n v="3.09"/>
    <n v="60.67"/>
    <n v="0.309"/>
    <n v="0.60670000000000002"/>
    <n v="65"/>
  </r>
  <r>
    <x v="49"/>
    <n v="0.98"/>
    <n v="3.15"/>
    <n v="59.14"/>
    <n v="0.315"/>
    <n v="0.59140000000000004"/>
    <n v="65"/>
  </r>
  <r>
    <x v="50"/>
    <n v="0.94"/>
    <n v="2.33"/>
    <n v="63.55"/>
    <n v="0.23300000000000001"/>
    <n v="0.63549999999999995"/>
    <n v="65"/>
  </r>
  <r>
    <x v="51"/>
    <n v="0.95"/>
    <n v="2.0099999999999998"/>
    <n v="66.19"/>
    <n v="0.20099999999999996"/>
    <n v="0.66189999999999993"/>
    <n v="65"/>
  </r>
  <r>
    <x v="52"/>
    <n v="0.95"/>
    <n v="1.79"/>
    <n v="67.010000000000005"/>
    <n v="0.17900000000000002"/>
    <n v="0.67010000000000003"/>
    <n v="65"/>
  </r>
  <r>
    <x v="53"/>
    <n v="0.95"/>
    <n v="1.98"/>
    <n v="66.53"/>
    <n v="0.19800000000000001"/>
    <n v="0.6653"/>
    <n v="65"/>
  </r>
  <r>
    <x v="54"/>
    <n v="0.96"/>
    <n v="2.5099999999999998"/>
    <n v="65.87"/>
    <n v="0.25099999999999995"/>
    <n v="0.65870000000000006"/>
    <n v="65"/>
  </r>
  <r>
    <x v="55"/>
    <n v="0.96"/>
    <n v="2.63"/>
    <n v="65.459999999999994"/>
    <n v="0.26300000000000001"/>
    <n v="0.65459999999999996"/>
    <n v="65"/>
  </r>
  <r>
    <x v="56"/>
    <n v="0.97"/>
    <n v="2.71"/>
    <n v="65.709999999999994"/>
    <n v="0.27100000000000002"/>
    <n v="0.65709999999999991"/>
    <n v="65"/>
  </r>
  <r>
    <x v="57"/>
    <n v="0.98"/>
    <n v="2.97"/>
    <n v="64.02"/>
    <n v="0.29699999999999999"/>
    <n v="0.64019999999999999"/>
    <n v="65"/>
  </r>
  <r>
    <x v="58"/>
    <n v="0.98"/>
    <n v="2.84"/>
    <n v="64.13"/>
    <n v="0.28399999999999997"/>
    <n v="0.64129999999999998"/>
    <n v="65"/>
  </r>
  <r>
    <x v="59"/>
    <n v="1"/>
    <n v="2.81"/>
    <n v="65.08"/>
    <n v="0.28100000000000003"/>
    <n v="0.65079999999999993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21">
  <location ref="A3:C15" firstHeaderRow="0" firstDataRow="1" firstDataCol="1"/>
  <pivotFields count="9">
    <pivotField numFmtId="17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Row" numFmtId="9" showAll="0">
      <items count="12">
        <item x="1"/>
        <item x="6"/>
        <item x="9"/>
        <item x="2"/>
        <item x="5"/>
        <item x="0"/>
        <item x="10"/>
        <item x="4"/>
        <item x="8"/>
        <item x="7"/>
        <item x="3"/>
        <item t="default"/>
      </items>
    </pivotField>
    <pivotField showAll="0"/>
    <pivotField numFmtId="2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taff Responsiveness Domain Top Box Score %" fld="5" subtotal="average" baseField="1" baseItem="0" numFmtId="10"/>
    <dataField name="Average of Unassisted Fall %" fld="4" subtotal="average" baseField="1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chartFormat="5">
  <location ref="A3:C16" firstHeaderRow="0" firstDataRow="1" firstDataCol="1"/>
  <pivotFields count="10">
    <pivotField numFmtId="17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umFmtId="9" showAll="0"/>
    <pivotField showAll="0"/>
    <pivotField dataField="1" numFmtId="2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taff Responsiveness Domain Top Box Score" fld="3" subtotal="average" baseField="7" baseItem="1" numFmtId="2"/>
    <dataField name="Average of Staff Responsiveness Top Box Score Benchmark" fld="6" subtotal="average" baseField="7" baseItem="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5"/>
  <sheetViews>
    <sheetView zoomScale="141" zoomScaleNormal="141" topLeftCell="F1" workbookViewId="0">
      <selection activeCell="B4" sqref="B4"/>
    </sheetView>
  </sheetViews>
  <sheetFormatPr defaultColWidth="9" defaultRowHeight="14.4" outlineLevelCol="2"/>
  <cols>
    <col min="1" max="1" width="12.3611111111111" customWidth="1"/>
    <col min="2" max="2" width="49.6296296296296" customWidth="1"/>
    <col min="3" max="4" width="24.8148148148148" customWidth="1"/>
  </cols>
  <sheetData>
    <row r="3" spans="1:3">
      <c r="A3" t="s">
        <v>0</v>
      </c>
      <c r="B3" t="s">
        <v>1</v>
      </c>
      <c r="C3" t="s">
        <v>2</v>
      </c>
    </row>
    <row r="4" spans="1:3">
      <c r="A4" s="13">
        <v>0.81</v>
      </c>
      <c r="B4" s="14">
        <v>0.6707</v>
      </c>
      <c r="C4" s="14">
        <v>0.103</v>
      </c>
    </row>
    <row r="5" spans="1:3">
      <c r="A5" s="13">
        <v>0.92</v>
      </c>
      <c r="B5" s="14">
        <v>0.6755</v>
      </c>
      <c r="C5" s="14">
        <v>0.16</v>
      </c>
    </row>
    <row r="6" spans="1:3">
      <c r="A6" s="13">
        <v>0.93</v>
      </c>
      <c r="B6" s="14">
        <v>0.6613</v>
      </c>
      <c r="C6" s="14">
        <v>0.205</v>
      </c>
    </row>
    <row r="7" spans="1:3">
      <c r="A7" s="13">
        <v>0.94</v>
      </c>
      <c r="B7" s="14">
        <v>0.649385714285714</v>
      </c>
      <c r="C7" s="14">
        <v>0.254</v>
      </c>
    </row>
    <row r="8" spans="1:3">
      <c r="A8" s="13">
        <v>0.95</v>
      </c>
      <c r="B8" s="14">
        <v>0.636107692307692</v>
      </c>
      <c r="C8" s="14">
        <v>0.235307692307692</v>
      </c>
    </row>
    <row r="9" spans="1:3">
      <c r="A9" s="13">
        <v>0.96</v>
      </c>
      <c r="B9" s="14">
        <v>0.645823076923077</v>
      </c>
      <c r="C9" s="14">
        <v>0.246076923076923</v>
      </c>
    </row>
    <row r="10" spans="1:3">
      <c r="A10" s="13">
        <v>0.97</v>
      </c>
      <c r="B10" s="14">
        <v>0.5939</v>
      </c>
      <c r="C10" s="14">
        <v>0.305333333333333</v>
      </c>
    </row>
    <row r="11" spans="1:3">
      <c r="A11" s="13">
        <v>0.98</v>
      </c>
      <c r="B11" s="14">
        <v>0.61993</v>
      </c>
      <c r="C11" s="14">
        <v>0.2848</v>
      </c>
    </row>
    <row r="12" spans="1:3">
      <c r="A12" s="13">
        <v>0.99</v>
      </c>
      <c r="B12" s="14">
        <v>0.604414285714286</v>
      </c>
      <c r="C12" s="14">
        <v>0.303</v>
      </c>
    </row>
    <row r="13" spans="1:3">
      <c r="A13" s="13">
        <v>1</v>
      </c>
      <c r="B13" s="14">
        <v>0.6307</v>
      </c>
      <c r="C13" s="14">
        <v>0.292</v>
      </c>
    </row>
    <row r="14" spans="1:3">
      <c r="A14" s="13">
        <v>1.01</v>
      </c>
      <c r="B14" s="14">
        <v>0.58045</v>
      </c>
      <c r="C14" s="14">
        <v>0.337</v>
      </c>
    </row>
    <row r="15" spans="1:3">
      <c r="A15" s="13" t="s">
        <v>3</v>
      </c>
      <c r="B15" s="14">
        <v>0.630875</v>
      </c>
      <c r="C15" s="14">
        <v>0.260783333333333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6"/>
  <sheetViews>
    <sheetView topLeftCell="F1" workbookViewId="0">
      <selection activeCell="A3" sqref="A3"/>
    </sheetView>
  </sheetViews>
  <sheetFormatPr defaultColWidth="9" defaultRowHeight="14.4" outlineLevelCol="2"/>
  <cols>
    <col min="1" max="1" width="12.3611111111111" customWidth="1"/>
    <col min="2" max="2" width="47.6296296296296" customWidth="1"/>
    <col min="3" max="3" width="50.6296296296296" customWidth="1"/>
  </cols>
  <sheetData>
    <row r="3" spans="1:3">
      <c r="A3" t="s">
        <v>0</v>
      </c>
      <c r="B3" t="s">
        <v>4</v>
      </c>
      <c r="C3" t="s">
        <v>5</v>
      </c>
    </row>
    <row r="4" spans="1:3">
      <c r="A4" s="10" t="s">
        <v>6</v>
      </c>
      <c r="B4" s="11">
        <v>61.34</v>
      </c>
      <c r="C4" s="12">
        <v>65</v>
      </c>
    </row>
    <row r="5" spans="1:3">
      <c r="A5" s="10" t="s">
        <v>7</v>
      </c>
      <c r="B5" s="11">
        <v>62.802</v>
      </c>
      <c r="C5" s="12">
        <v>65</v>
      </c>
    </row>
    <row r="6" spans="1:3">
      <c r="A6" s="10" t="s">
        <v>8</v>
      </c>
      <c r="B6" s="11">
        <v>63.082</v>
      </c>
      <c r="C6" s="12">
        <v>65</v>
      </c>
    </row>
    <row r="7" spans="1:3">
      <c r="A7" s="10" t="s">
        <v>9</v>
      </c>
      <c r="B7" s="11">
        <v>66.052</v>
      </c>
      <c r="C7" s="12">
        <v>65</v>
      </c>
    </row>
    <row r="8" spans="1:3">
      <c r="A8" s="10" t="s">
        <v>10</v>
      </c>
      <c r="B8" s="11">
        <v>63.762</v>
      </c>
      <c r="C8" s="12">
        <v>65</v>
      </c>
    </row>
    <row r="9" spans="1:3">
      <c r="A9" s="10" t="s">
        <v>11</v>
      </c>
      <c r="B9" s="11">
        <v>63.114</v>
      </c>
      <c r="C9" s="12">
        <v>65</v>
      </c>
    </row>
    <row r="10" spans="1:3">
      <c r="A10" s="10" t="s">
        <v>12</v>
      </c>
      <c r="B10" s="11">
        <v>64.384</v>
      </c>
      <c r="C10" s="12">
        <v>65</v>
      </c>
    </row>
    <row r="11" spans="1:3">
      <c r="A11" s="10" t="s">
        <v>13</v>
      </c>
      <c r="B11" s="11">
        <v>65.742</v>
      </c>
      <c r="C11" s="12">
        <v>65</v>
      </c>
    </row>
    <row r="12" spans="1:3">
      <c r="A12" s="10" t="s">
        <v>14</v>
      </c>
      <c r="B12" s="11">
        <v>60.336</v>
      </c>
      <c r="C12" s="12">
        <v>65</v>
      </c>
    </row>
    <row r="13" spans="1:3">
      <c r="A13" s="10" t="s">
        <v>15</v>
      </c>
      <c r="B13" s="11">
        <v>64.04</v>
      </c>
      <c r="C13" s="12">
        <v>65</v>
      </c>
    </row>
    <row r="14" spans="1:3">
      <c r="A14" s="10" t="s">
        <v>16</v>
      </c>
      <c r="B14" s="11">
        <v>61.53</v>
      </c>
      <c r="C14" s="12">
        <v>65</v>
      </c>
    </row>
    <row r="15" spans="1:3">
      <c r="A15" s="10" t="s">
        <v>17</v>
      </c>
      <c r="B15" s="11">
        <v>60.866</v>
      </c>
      <c r="C15" s="12">
        <v>65</v>
      </c>
    </row>
    <row r="16" spans="1:3">
      <c r="A16" s="10" t="s">
        <v>3</v>
      </c>
      <c r="B16" s="11">
        <v>63.0875</v>
      </c>
      <c r="C16" s="12">
        <v>65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showGridLines="0" tabSelected="1" workbookViewId="0">
      <selection activeCell="A1" sqref="A$1:A$1048576"/>
    </sheetView>
  </sheetViews>
  <sheetFormatPr defaultColWidth="9" defaultRowHeight="14.4" outlineLevelCol="6"/>
  <cols>
    <col min="1" max="1" width="10" customWidth="1"/>
    <col min="2" max="2" width="19.5462962962963" customWidth="1"/>
    <col min="3" max="3" width="20.2685185185185" customWidth="1"/>
    <col min="4" max="4" width="21.7222222222222" style="1" customWidth="1"/>
    <col min="6" max="6" width="17.4537037037037" customWidth="1"/>
    <col min="7" max="7" width="15.2685185185185" customWidth="1"/>
  </cols>
  <sheetData>
    <row r="1" ht="65.5" customHeight="1" spans="1:7">
      <c r="A1" s="2" t="s">
        <v>18</v>
      </c>
      <c r="B1" s="3" t="s">
        <v>19</v>
      </c>
      <c r="C1" s="3" t="s">
        <v>20</v>
      </c>
      <c r="D1" s="4" t="s">
        <v>21</v>
      </c>
      <c r="E1" s="5" t="s">
        <v>22</v>
      </c>
      <c r="F1" s="5" t="s">
        <v>23</v>
      </c>
      <c r="G1" s="5" t="s">
        <v>24</v>
      </c>
    </row>
    <row r="2" spans="1:7">
      <c r="A2" s="6">
        <v>43831</v>
      </c>
      <c r="B2" s="7">
        <v>0.96</v>
      </c>
      <c r="C2" s="8">
        <v>2.21</v>
      </c>
      <c r="D2" s="9">
        <v>68.34</v>
      </c>
      <c r="E2">
        <f>C2/1000*100</f>
        <v>0.221</v>
      </c>
      <c r="F2">
        <f>D2/100</f>
        <v>0.6834</v>
      </c>
      <c r="G2">
        <v>65</v>
      </c>
    </row>
    <row r="3" spans="1:7">
      <c r="A3" s="6">
        <v>43862</v>
      </c>
      <c r="B3" s="7">
        <v>0.96</v>
      </c>
      <c r="C3" s="8">
        <v>1.79</v>
      </c>
      <c r="D3" s="9">
        <v>72.75</v>
      </c>
      <c r="E3">
        <f t="shared" ref="E3:E61" si="0">C3/1000*100</f>
        <v>0.179</v>
      </c>
      <c r="F3">
        <f t="shared" ref="F3:F61" si="1">D3/100</f>
        <v>0.7275</v>
      </c>
      <c r="G3">
        <v>65</v>
      </c>
    </row>
    <row r="4" spans="1:7">
      <c r="A4" s="6">
        <v>43891</v>
      </c>
      <c r="B4" s="7">
        <v>0.81</v>
      </c>
      <c r="C4" s="8">
        <v>1.03</v>
      </c>
      <c r="D4" s="9">
        <v>67.07</v>
      </c>
      <c r="E4">
        <f t="shared" si="0"/>
        <v>0.103</v>
      </c>
      <c r="F4">
        <f t="shared" si="1"/>
        <v>0.6707</v>
      </c>
      <c r="G4">
        <v>65</v>
      </c>
    </row>
    <row r="5" spans="1:7">
      <c r="A5" s="6">
        <v>43922</v>
      </c>
      <c r="B5" s="7">
        <v>0.94</v>
      </c>
      <c r="C5" s="8">
        <v>1.97</v>
      </c>
      <c r="D5" s="9">
        <v>71.21</v>
      </c>
      <c r="E5">
        <f t="shared" si="0"/>
        <v>0.197</v>
      </c>
      <c r="F5">
        <f t="shared" si="1"/>
        <v>0.7121</v>
      </c>
      <c r="G5">
        <v>65</v>
      </c>
    </row>
    <row r="6" spans="1:7">
      <c r="A6" s="6">
        <v>43952</v>
      </c>
      <c r="B6" s="7">
        <v>1.01</v>
      </c>
      <c r="C6" s="8">
        <v>3.41</v>
      </c>
      <c r="D6" s="9">
        <v>57.68</v>
      </c>
      <c r="E6">
        <f t="shared" si="0"/>
        <v>0.341</v>
      </c>
      <c r="F6">
        <f t="shared" si="1"/>
        <v>0.5768</v>
      </c>
      <c r="G6">
        <v>65</v>
      </c>
    </row>
    <row r="7" spans="1:7">
      <c r="A7" s="6">
        <v>43983</v>
      </c>
      <c r="B7" s="7">
        <v>0.98</v>
      </c>
      <c r="C7" s="8">
        <v>2.61</v>
      </c>
      <c r="D7" s="9">
        <v>67.86</v>
      </c>
      <c r="E7">
        <f t="shared" si="0"/>
        <v>0.261</v>
      </c>
      <c r="F7">
        <f t="shared" si="1"/>
        <v>0.6786</v>
      </c>
      <c r="G7">
        <v>65</v>
      </c>
    </row>
    <row r="8" spans="1:7">
      <c r="A8" s="6">
        <v>44013</v>
      </c>
      <c r="B8" s="7">
        <v>0.95</v>
      </c>
      <c r="C8" s="8">
        <v>2.42</v>
      </c>
      <c r="D8" s="9">
        <v>66.09</v>
      </c>
      <c r="E8">
        <f t="shared" si="0"/>
        <v>0.242</v>
      </c>
      <c r="F8">
        <f t="shared" si="1"/>
        <v>0.6609</v>
      </c>
      <c r="G8">
        <v>65</v>
      </c>
    </row>
    <row r="9" spans="1:7">
      <c r="A9" s="6">
        <v>44044</v>
      </c>
      <c r="B9" s="7">
        <v>0.94</v>
      </c>
      <c r="C9" s="8">
        <v>2.09</v>
      </c>
      <c r="D9" s="9">
        <v>70.38</v>
      </c>
      <c r="E9">
        <f t="shared" si="0"/>
        <v>0.209</v>
      </c>
      <c r="F9">
        <f t="shared" si="1"/>
        <v>0.7038</v>
      </c>
      <c r="G9">
        <v>65</v>
      </c>
    </row>
    <row r="10" spans="1:7">
      <c r="A10" s="6">
        <v>44075</v>
      </c>
      <c r="B10" s="7">
        <v>0.95</v>
      </c>
      <c r="C10" s="8">
        <v>3.11</v>
      </c>
      <c r="D10" s="9">
        <v>53.31</v>
      </c>
      <c r="E10">
        <f t="shared" si="0"/>
        <v>0.311</v>
      </c>
      <c r="F10">
        <f t="shared" si="1"/>
        <v>0.5331</v>
      </c>
      <c r="G10">
        <v>65</v>
      </c>
    </row>
    <row r="11" spans="1:7">
      <c r="A11" s="6">
        <v>44105</v>
      </c>
      <c r="B11" s="7">
        <v>0.92</v>
      </c>
      <c r="C11" s="8">
        <v>1.6</v>
      </c>
      <c r="D11" s="9">
        <v>67.55</v>
      </c>
      <c r="E11">
        <f t="shared" si="0"/>
        <v>0.16</v>
      </c>
      <c r="F11">
        <f t="shared" si="1"/>
        <v>0.6755</v>
      </c>
      <c r="G11">
        <v>65</v>
      </c>
    </row>
    <row r="12" spans="1:7">
      <c r="A12" s="6">
        <v>44136</v>
      </c>
      <c r="B12" s="7">
        <v>0.95</v>
      </c>
      <c r="C12" s="8">
        <v>2.31</v>
      </c>
      <c r="D12" s="9">
        <v>60.35</v>
      </c>
      <c r="E12">
        <f t="shared" si="0"/>
        <v>0.231</v>
      </c>
      <c r="F12">
        <f t="shared" si="1"/>
        <v>0.6035</v>
      </c>
      <c r="G12">
        <v>65</v>
      </c>
    </row>
    <row r="13" spans="1:7">
      <c r="A13" s="6">
        <v>44166</v>
      </c>
      <c r="B13" s="7">
        <v>0.98</v>
      </c>
      <c r="C13" s="8">
        <v>2.47</v>
      </c>
      <c r="D13" s="9">
        <v>61.33</v>
      </c>
      <c r="E13">
        <f t="shared" si="0"/>
        <v>0.247</v>
      </c>
      <c r="F13">
        <f t="shared" si="1"/>
        <v>0.6133</v>
      </c>
      <c r="G13">
        <v>65</v>
      </c>
    </row>
    <row r="14" spans="1:7">
      <c r="A14" s="6">
        <v>44197</v>
      </c>
      <c r="B14" s="7">
        <v>1</v>
      </c>
      <c r="C14" s="8">
        <v>3.03</v>
      </c>
      <c r="D14" s="9">
        <v>61.06</v>
      </c>
      <c r="E14">
        <f t="shared" si="0"/>
        <v>0.303</v>
      </c>
      <c r="F14">
        <f t="shared" si="1"/>
        <v>0.6106</v>
      </c>
      <c r="G14">
        <v>65</v>
      </c>
    </row>
    <row r="15" spans="1:7">
      <c r="A15" s="6">
        <v>44228</v>
      </c>
      <c r="B15" s="7">
        <v>0.99</v>
      </c>
      <c r="C15" s="8">
        <v>2.35</v>
      </c>
      <c r="D15" s="9">
        <v>65.23</v>
      </c>
      <c r="E15">
        <f t="shared" si="0"/>
        <v>0.235</v>
      </c>
      <c r="F15">
        <f t="shared" si="1"/>
        <v>0.6523</v>
      </c>
      <c r="G15">
        <v>65</v>
      </c>
    </row>
    <row r="16" spans="1:7">
      <c r="A16" s="6">
        <v>44256</v>
      </c>
      <c r="B16" s="7">
        <v>0.95</v>
      </c>
      <c r="C16" s="8">
        <v>2.47</v>
      </c>
      <c r="D16" s="9">
        <v>64.02</v>
      </c>
      <c r="E16">
        <f t="shared" si="0"/>
        <v>0.247</v>
      </c>
      <c r="F16">
        <f t="shared" si="1"/>
        <v>0.6402</v>
      </c>
      <c r="G16">
        <v>65</v>
      </c>
    </row>
    <row r="17" spans="1:7">
      <c r="A17" s="6">
        <v>44287</v>
      </c>
      <c r="B17" s="7">
        <v>0.96</v>
      </c>
      <c r="C17" s="8">
        <v>1.94</v>
      </c>
      <c r="D17" s="9">
        <v>70.11</v>
      </c>
      <c r="E17">
        <f t="shared" si="0"/>
        <v>0.194</v>
      </c>
      <c r="F17">
        <f t="shared" si="1"/>
        <v>0.7011</v>
      </c>
      <c r="G17">
        <v>65</v>
      </c>
    </row>
    <row r="18" spans="1:7">
      <c r="A18" s="6">
        <v>44317</v>
      </c>
      <c r="B18" s="7">
        <v>0.94</v>
      </c>
      <c r="C18" s="8">
        <v>2.54</v>
      </c>
      <c r="D18" s="9">
        <v>68.16</v>
      </c>
      <c r="E18">
        <f t="shared" si="0"/>
        <v>0.254</v>
      </c>
      <c r="F18">
        <f t="shared" si="1"/>
        <v>0.6816</v>
      </c>
      <c r="G18">
        <v>65</v>
      </c>
    </row>
    <row r="19" spans="1:7">
      <c r="A19" s="6">
        <v>44348</v>
      </c>
      <c r="B19" s="7">
        <v>0.94</v>
      </c>
      <c r="C19" s="8">
        <v>3.17</v>
      </c>
      <c r="D19" s="9">
        <v>54.38</v>
      </c>
      <c r="E19">
        <f t="shared" si="0"/>
        <v>0.317</v>
      </c>
      <c r="F19">
        <f t="shared" si="1"/>
        <v>0.5438</v>
      </c>
      <c r="G19">
        <v>65</v>
      </c>
    </row>
    <row r="20" spans="1:7">
      <c r="A20" s="6">
        <v>44378</v>
      </c>
      <c r="B20" s="7">
        <v>0.94</v>
      </c>
      <c r="C20" s="8">
        <v>2.79</v>
      </c>
      <c r="D20" s="9">
        <v>64</v>
      </c>
      <c r="E20">
        <f t="shared" si="0"/>
        <v>0.279</v>
      </c>
      <c r="F20">
        <f t="shared" si="1"/>
        <v>0.64</v>
      </c>
      <c r="G20">
        <v>65</v>
      </c>
    </row>
    <row r="21" spans="1:7">
      <c r="A21" s="6">
        <v>44409</v>
      </c>
      <c r="B21" s="7">
        <v>0.93</v>
      </c>
      <c r="C21" s="8">
        <v>2.05</v>
      </c>
      <c r="D21" s="9">
        <v>66.13</v>
      </c>
      <c r="E21">
        <f t="shared" si="0"/>
        <v>0.205</v>
      </c>
      <c r="F21">
        <f t="shared" si="1"/>
        <v>0.6613</v>
      </c>
      <c r="G21">
        <v>65</v>
      </c>
    </row>
    <row r="22" spans="1:7">
      <c r="A22" s="6">
        <v>44440</v>
      </c>
      <c r="B22" s="7">
        <v>0.97</v>
      </c>
      <c r="C22" s="8">
        <v>3.34</v>
      </c>
      <c r="D22" s="9">
        <v>55.17</v>
      </c>
      <c r="E22">
        <f t="shared" si="0"/>
        <v>0.334</v>
      </c>
      <c r="F22">
        <f t="shared" si="1"/>
        <v>0.5517</v>
      </c>
      <c r="G22">
        <v>65</v>
      </c>
    </row>
    <row r="23" spans="1:7">
      <c r="A23" s="6">
        <v>44470</v>
      </c>
      <c r="B23" s="7">
        <v>0.95</v>
      </c>
      <c r="C23" s="8">
        <v>2.44</v>
      </c>
      <c r="D23" s="9">
        <v>64.03</v>
      </c>
      <c r="E23">
        <f t="shared" si="0"/>
        <v>0.244</v>
      </c>
      <c r="F23">
        <f t="shared" si="1"/>
        <v>0.6403</v>
      </c>
      <c r="G23">
        <v>65</v>
      </c>
    </row>
    <row r="24" spans="1:7">
      <c r="A24" s="6">
        <v>44501</v>
      </c>
      <c r="B24" s="7">
        <v>0.96</v>
      </c>
      <c r="C24" s="8">
        <v>2.31</v>
      </c>
      <c r="D24" s="9">
        <v>64.12</v>
      </c>
      <c r="E24">
        <f t="shared" si="0"/>
        <v>0.231</v>
      </c>
      <c r="F24">
        <f t="shared" si="1"/>
        <v>0.6412</v>
      </c>
      <c r="G24">
        <v>65</v>
      </c>
    </row>
    <row r="25" spans="1:7">
      <c r="A25" s="6">
        <v>44531</v>
      </c>
      <c r="B25" s="7">
        <v>0.98</v>
      </c>
      <c r="C25" s="8">
        <v>2.57</v>
      </c>
      <c r="D25" s="9">
        <v>60.42</v>
      </c>
      <c r="E25">
        <f t="shared" si="0"/>
        <v>0.257</v>
      </c>
      <c r="F25">
        <f t="shared" si="1"/>
        <v>0.6042</v>
      </c>
      <c r="G25">
        <v>65</v>
      </c>
    </row>
    <row r="26" spans="1:7">
      <c r="A26" s="6">
        <v>44562</v>
      </c>
      <c r="B26" s="7">
        <v>1.01</v>
      </c>
      <c r="C26" s="8">
        <v>3.33</v>
      </c>
      <c r="D26" s="9">
        <v>58.41</v>
      </c>
      <c r="E26">
        <f t="shared" si="0"/>
        <v>0.333</v>
      </c>
      <c r="F26">
        <f t="shared" si="1"/>
        <v>0.5841</v>
      </c>
      <c r="G26">
        <v>65</v>
      </c>
    </row>
    <row r="27" spans="1:7">
      <c r="A27" s="6">
        <v>44593</v>
      </c>
      <c r="B27" s="7">
        <v>0.99</v>
      </c>
      <c r="C27" s="8">
        <v>3.19</v>
      </c>
      <c r="D27" s="9">
        <v>59.77</v>
      </c>
      <c r="E27">
        <f t="shared" si="0"/>
        <v>0.319</v>
      </c>
      <c r="F27">
        <f t="shared" si="1"/>
        <v>0.5977</v>
      </c>
      <c r="G27">
        <v>65</v>
      </c>
    </row>
    <row r="28" spans="1:7">
      <c r="A28" s="6">
        <v>44621</v>
      </c>
      <c r="B28" s="7">
        <v>0.96</v>
      </c>
      <c r="C28" s="8">
        <v>2.78</v>
      </c>
      <c r="D28" s="9">
        <v>61.32</v>
      </c>
      <c r="E28">
        <f t="shared" si="0"/>
        <v>0.278</v>
      </c>
      <c r="F28">
        <f t="shared" si="1"/>
        <v>0.6132</v>
      </c>
      <c r="G28">
        <v>65</v>
      </c>
    </row>
    <row r="29" spans="1:7">
      <c r="A29" s="6">
        <v>44652</v>
      </c>
      <c r="B29" s="7">
        <v>0.96</v>
      </c>
      <c r="C29" s="8">
        <v>2.91</v>
      </c>
      <c r="D29" s="9">
        <v>60.18</v>
      </c>
      <c r="E29">
        <f t="shared" si="0"/>
        <v>0.291</v>
      </c>
      <c r="F29">
        <f t="shared" si="1"/>
        <v>0.6018</v>
      </c>
      <c r="G29">
        <v>65</v>
      </c>
    </row>
    <row r="30" spans="1:7">
      <c r="A30" s="6">
        <v>44682</v>
      </c>
      <c r="B30" s="7">
        <v>0.95</v>
      </c>
      <c r="C30" s="8">
        <v>2.49</v>
      </c>
      <c r="D30" s="9">
        <v>63.07</v>
      </c>
      <c r="E30">
        <f t="shared" si="0"/>
        <v>0.249</v>
      </c>
      <c r="F30">
        <f t="shared" si="1"/>
        <v>0.6307</v>
      </c>
      <c r="G30">
        <v>65</v>
      </c>
    </row>
    <row r="31" spans="1:7">
      <c r="A31" s="6">
        <v>44713</v>
      </c>
      <c r="B31" s="7">
        <v>0.95</v>
      </c>
      <c r="C31" s="8">
        <v>2.31</v>
      </c>
      <c r="D31" s="9">
        <v>63.11</v>
      </c>
      <c r="E31">
        <f t="shared" si="0"/>
        <v>0.231</v>
      </c>
      <c r="F31">
        <f t="shared" si="1"/>
        <v>0.6311</v>
      </c>
      <c r="G31">
        <v>65</v>
      </c>
    </row>
    <row r="32" spans="1:7">
      <c r="A32" s="6">
        <v>44743</v>
      </c>
      <c r="B32" s="7">
        <v>0.96</v>
      </c>
      <c r="C32" s="8">
        <v>2.43</v>
      </c>
      <c r="D32" s="9">
        <v>61.03</v>
      </c>
      <c r="E32">
        <f t="shared" si="0"/>
        <v>0.243</v>
      </c>
      <c r="F32">
        <f t="shared" si="1"/>
        <v>0.6103</v>
      </c>
      <c r="G32">
        <v>65</v>
      </c>
    </row>
    <row r="33" spans="1:7">
      <c r="A33" s="6">
        <v>44774</v>
      </c>
      <c r="B33" s="7">
        <v>0.96</v>
      </c>
      <c r="C33" s="8">
        <v>3.13</v>
      </c>
      <c r="D33" s="9">
        <v>59.97</v>
      </c>
      <c r="E33">
        <f t="shared" si="0"/>
        <v>0.313</v>
      </c>
      <c r="F33">
        <f t="shared" si="1"/>
        <v>0.5997</v>
      </c>
      <c r="G33">
        <v>65</v>
      </c>
    </row>
    <row r="34" spans="1:7">
      <c r="A34" s="6">
        <v>44805</v>
      </c>
      <c r="B34" s="7">
        <v>0.95</v>
      </c>
      <c r="C34" s="8">
        <v>2.81</v>
      </c>
      <c r="D34" s="9">
        <v>61.53</v>
      </c>
      <c r="E34">
        <f t="shared" si="0"/>
        <v>0.281</v>
      </c>
      <c r="F34">
        <f t="shared" si="1"/>
        <v>0.6153</v>
      </c>
      <c r="G34">
        <v>65</v>
      </c>
    </row>
    <row r="35" spans="1:7">
      <c r="A35" s="6">
        <v>44835</v>
      </c>
      <c r="B35" s="7">
        <v>0.96</v>
      </c>
      <c r="C35" s="8">
        <v>2.07</v>
      </c>
      <c r="D35" s="9">
        <v>64.16</v>
      </c>
      <c r="E35">
        <f t="shared" si="0"/>
        <v>0.207</v>
      </c>
      <c r="F35">
        <f t="shared" si="1"/>
        <v>0.6416</v>
      </c>
      <c r="G35">
        <v>65</v>
      </c>
    </row>
    <row r="36" spans="1:7">
      <c r="A36" s="6">
        <v>44866</v>
      </c>
      <c r="B36" s="7">
        <v>0.97</v>
      </c>
      <c r="C36" s="8">
        <v>3.11</v>
      </c>
      <c r="D36" s="9">
        <v>57.29</v>
      </c>
      <c r="E36">
        <f t="shared" si="0"/>
        <v>0.311</v>
      </c>
      <c r="F36">
        <f t="shared" si="1"/>
        <v>0.5729</v>
      </c>
      <c r="G36">
        <v>65</v>
      </c>
    </row>
    <row r="37" spans="1:7">
      <c r="A37" s="6">
        <v>44896</v>
      </c>
      <c r="B37" s="7">
        <v>0.98</v>
      </c>
      <c r="C37" s="8">
        <v>3.21</v>
      </c>
      <c r="D37" s="9">
        <v>57.18</v>
      </c>
      <c r="E37">
        <f t="shared" si="0"/>
        <v>0.321</v>
      </c>
      <c r="F37">
        <f t="shared" si="1"/>
        <v>0.5718</v>
      </c>
      <c r="G37">
        <v>65</v>
      </c>
    </row>
    <row r="38" spans="1:7">
      <c r="A38" s="6">
        <v>44927</v>
      </c>
      <c r="B38" s="7">
        <v>0.99</v>
      </c>
      <c r="C38" s="8">
        <v>3.17</v>
      </c>
      <c r="D38" s="9">
        <v>58.22</v>
      </c>
      <c r="E38">
        <f t="shared" si="0"/>
        <v>0.317</v>
      </c>
      <c r="F38">
        <f t="shared" si="1"/>
        <v>0.5822</v>
      </c>
      <c r="G38">
        <v>65</v>
      </c>
    </row>
    <row r="39" spans="1:7">
      <c r="A39" s="6">
        <v>44958</v>
      </c>
      <c r="B39" s="7">
        <v>0.99</v>
      </c>
      <c r="C39" s="8">
        <v>3.39</v>
      </c>
      <c r="D39" s="9">
        <v>57.12</v>
      </c>
      <c r="E39">
        <f t="shared" si="0"/>
        <v>0.339</v>
      </c>
      <c r="F39">
        <f t="shared" si="1"/>
        <v>0.5712</v>
      </c>
      <c r="G39">
        <v>65</v>
      </c>
    </row>
    <row r="40" spans="1:7">
      <c r="A40" s="6">
        <v>44986</v>
      </c>
      <c r="B40" s="7">
        <v>0.98</v>
      </c>
      <c r="C40" s="8">
        <v>3.03</v>
      </c>
      <c r="D40" s="9">
        <v>59.45</v>
      </c>
      <c r="E40">
        <f t="shared" si="0"/>
        <v>0.303</v>
      </c>
      <c r="F40">
        <f t="shared" si="1"/>
        <v>0.5945</v>
      </c>
      <c r="G40">
        <v>65</v>
      </c>
    </row>
    <row r="41" spans="1:7">
      <c r="A41" s="6">
        <v>45017</v>
      </c>
      <c r="B41" s="7">
        <v>0.96</v>
      </c>
      <c r="C41" s="8">
        <v>2.73</v>
      </c>
      <c r="D41" s="9">
        <v>62.57</v>
      </c>
      <c r="E41">
        <f t="shared" si="0"/>
        <v>0.273</v>
      </c>
      <c r="F41">
        <f t="shared" si="1"/>
        <v>0.6257</v>
      </c>
      <c r="G41">
        <v>65</v>
      </c>
    </row>
    <row r="42" spans="1:7">
      <c r="A42" s="6">
        <v>45047</v>
      </c>
      <c r="B42" s="7">
        <v>0.94</v>
      </c>
      <c r="C42" s="8">
        <v>2.89</v>
      </c>
      <c r="D42" s="9">
        <v>62.89</v>
      </c>
      <c r="E42">
        <f t="shared" si="0"/>
        <v>0.289</v>
      </c>
      <c r="F42">
        <f t="shared" si="1"/>
        <v>0.6289</v>
      </c>
      <c r="G42">
        <v>65</v>
      </c>
    </row>
    <row r="43" spans="1:7">
      <c r="A43" s="6">
        <v>45078</v>
      </c>
      <c r="B43" s="7">
        <v>0.96</v>
      </c>
      <c r="C43" s="8">
        <v>2.55</v>
      </c>
      <c r="D43" s="9">
        <v>63.69</v>
      </c>
      <c r="E43">
        <f t="shared" si="0"/>
        <v>0.255</v>
      </c>
      <c r="F43">
        <f t="shared" si="1"/>
        <v>0.6369</v>
      </c>
      <c r="G43">
        <v>65</v>
      </c>
    </row>
    <row r="44" spans="1:7">
      <c r="A44" s="6">
        <v>45108</v>
      </c>
      <c r="B44" s="7">
        <v>0.95</v>
      </c>
      <c r="C44" s="8">
        <v>2.42</v>
      </c>
      <c r="D44" s="9">
        <v>64.93</v>
      </c>
      <c r="E44">
        <f t="shared" si="0"/>
        <v>0.242</v>
      </c>
      <c r="F44">
        <f t="shared" si="1"/>
        <v>0.6493</v>
      </c>
      <c r="G44">
        <v>65</v>
      </c>
    </row>
    <row r="45" spans="1:7">
      <c r="A45" s="6">
        <v>45139</v>
      </c>
      <c r="B45" s="7">
        <v>0.95</v>
      </c>
      <c r="C45" s="8">
        <v>2.03</v>
      </c>
      <c r="D45" s="9">
        <v>66.77</v>
      </c>
      <c r="E45">
        <f t="shared" si="0"/>
        <v>0.203</v>
      </c>
      <c r="F45">
        <f t="shared" si="1"/>
        <v>0.6677</v>
      </c>
      <c r="G45">
        <v>65</v>
      </c>
    </row>
    <row r="46" spans="1:7">
      <c r="A46" s="6">
        <v>45170</v>
      </c>
      <c r="B46" s="7">
        <v>0.98</v>
      </c>
      <c r="C46" s="8">
        <v>2.56</v>
      </c>
      <c r="D46" s="9">
        <v>65.96</v>
      </c>
      <c r="E46">
        <f t="shared" si="0"/>
        <v>0.256</v>
      </c>
      <c r="F46">
        <f t="shared" si="1"/>
        <v>0.6596</v>
      </c>
      <c r="G46">
        <v>65</v>
      </c>
    </row>
    <row r="47" spans="1:7">
      <c r="A47" s="6">
        <v>45200</v>
      </c>
      <c r="B47" s="7">
        <v>0.98</v>
      </c>
      <c r="C47" s="8">
        <v>3.07</v>
      </c>
      <c r="D47" s="9">
        <v>60.44</v>
      </c>
      <c r="E47">
        <f t="shared" si="0"/>
        <v>0.307</v>
      </c>
      <c r="F47">
        <f t="shared" si="1"/>
        <v>0.6044</v>
      </c>
      <c r="G47">
        <v>65</v>
      </c>
    </row>
    <row r="48" spans="1:7">
      <c r="A48" s="6">
        <v>45231</v>
      </c>
      <c r="B48" s="7">
        <v>0.99</v>
      </c>
      <c r="C48" s="8">
        <v>2.99</v>
      </c>
      <c r="D48" s="9">
        <v>61.76</v>
      </c>
      <c r="E48">
        <f t="shared" si="0"/>
        <v>0.299</v>
      </c>
      <c r="F48">
        <f t="shared" si="1"/>
        <v>0.6176</v>
      </c>
      <c r="G48">
        <v>65</v>
      </c>
    </row>
    <row r="49" spans="1:7">
      <c r="A49" s="6">
        <v>45261</v>
      </c>
      <c r="B49" s="7">
        <v>0.99</v>
      </c>
      <c r="C49" s="8">
        <v>3.03</v>
      </c>
      <c r="D49" s="9">
        <v>60.32</v>
      </c>
      <c r="E49">
        <f t="shared" si="0"/>
        <v>0.303</v>
      </c>
      <c r="F49">
        <f t="shared" si="1"/>
        <v>0.6032</v>
      </c>
      <c r="G49">
        <v>65</v>
      </c>
    </row>
    <row r="50" spans="1:7">
      <c r="A50" s="6">
        <v>45292</v>
      </c>
      <c r="B50" s="7">
        <v>0.99</v>
      </c>
      <c r="C50" s="8">
        <v>3.09</v>
      </c>
      <c r="D50" s="9">
        <v>60.67</v>
      </c>
      <c r="E50">
        <f t="shared" si="0"/>
        <v>0.309</v>
      </c>
      <c r="F50">
        <f t="shared" si="1"/>
        <v>0.6067</v>
      </c>
      <c r="G50">
        <v>65</v>
      </c>
    </row>
    <row r="51" spans="1:7">
      <c r="A51" s="6">
        <v>45323</v>
      </c>
      <c r="B51" s="7">
        <v>0.98</v>
      </c>
      <c r="C51" s="8">
        <v>3.15</v>
      </c>
      <c r="D51" s="9">
        <v>59.14</v>
      </c>
      <c r="E51">
        <f t="shared" si="0"/>
        <v>0.315</v>
      </c>
      <c r="F51">
        <f t="shared" si="1"/>
        <v>0.5914</v>
      </c>
      <c r="G51">
        <v>65</v>
      </c>
    </row>
    <row r="52" spans="1:7">
      <c r="A52" s="6">
        <v>45352</v>
      </c>
      <c r="B52" s="7">
        <v>0.94</v>
      </c>
      <c r="C52" s="8">
        <v>2.33</v>
      </c>
      <c r="D52" s="9">
        <v>63.55</v>
      </c>
      <c r="E52">
        <f t="shared" si="0"/>
        <v>0.233</v>
      </c>
      <c r="F52">
        <f t="shared" si="1"/>
        <v>0.6355</v>
      </c>
      <c r="G52">
        <v>65</v>
      </c>
    </row>
    <row r="53" spans="1:7">
      <c r="A53" s="6">
        <v>45383</v>
      </c>
      <c r="B53" s="7">
        <v>0.95</v>
      </c>
      <c r="C53" s="8">
        <v>2.01</v>
      </c>
      <c r="D53" s="9">
        <v>66.19</v>
      </c>
      <c r="E53">
        <f t="shared" si="0"/>
        <v>0.201</v>
      </c>
      <c r="F53">
        <f t="shared" si="1"/>
        <v>0.6619</v>
      </c>
      <c r="G53">
        <v>65</v>
      </c>
    </row>
    <row r="54" spans="1:7">
      <c r="A54" s="6">
        <v>45413</v>
      </c>
      <c r="B54" s="7">
        <v>0.95</v>
      </c>
      <c r="C54" s="8">
        <v>1.79</v>
      </c>
      <c r="D54" s="9">
        <v>67.01</v>
      </c>
      <c r="E54">
        <f t="shared" si="0"/>
        <v>0.179</v>
      </c>
      <c r="F54">
        <f t="shared" si="1"/>
        <v>0.6701</v>
      </c>
      <c r="G54">
        <v>65</v>
      </c>
    </row>
    <row r="55" spans="1:7">
      <c r="A55" s="6">
        <v>45444</v>
      </c>
      <c r="B55" s="7">
        <v>0.95</v>
      </c>
      <c r="C55" s="8">
        <v>1.98</v>
      </c>
      <c r="D55" s="9">
        <v>66.53</v>
      </c>
      <c r="E55">
        <f t="shared" si="0"/>
        <v>0.198</v>
      </c>
      <c r="F55">
        <f t="shared" si="1"/>
        <v>0.6653</v>
      </c>
      <c r="G55">
        <v>65</v>
      </c>
    </row>
    <row r="56" spans="1:7">
      <c r="A56" s="6">
        <v>45474</v>
      </c>
      <c r="B56" s="7">
        <v>0.96</v>
      </c>
      <c r="C56" s="8">
        <v>2.51</v>
      </c>
      <c r="D56" s="9">
        <v>65.87</v>
      </c>
      <c r="E56">
        <f t="shared" si="0"/>
        <v>0.251</v>
      </c>
      <c r="F56">
        <f t="shared" si="1"/>
        <v>0.6587</v>
      </c>
      <c r="G56">
        <v>65</v>
      </c>
    </row>
    <row r="57" spans="1:7">
      <c r="A57" s="6">
        <v>45505</v>
      </c>
      <c r="B57" s="7">
        <v>0.96</v>
      </c>
      <c r="C57" s="8">
        <v>2.63</v>
      </c>
      <c r="D57" s="9">
        <v>65.46</v>
      </c>
      <c r="E57">
        <f t="shared" si="0"/>
        <v>0.263</v>
      </c>
      <c r="F57">
        <f t="shared" si="1"/>
        <v>0.6546</v>
      </c>
      <c r="G57">
        <v>65</v>
      </c>
    </row>
    <row r="58" spans="1:7">
      <c r="A58" s="6">
        <v>45536</v>
      </c>
      <c r="B58" s="7">
        <v>0.97</v>
      </c>
      <c r="C58" s="8">
        <v>2.71</v>
      </c>
      <c r="D58" s="9">
        <v>65.71</v>
      </c>
      <c r="E58">
        <f t="shared" si="0"/>
        <v>0.271</v>
      </c>
      <c r="F58">
        <f t="shared" si="1"/>
        <v>0.6571</v>
      </c>
      <c r="G58">
        <v>65</v>
      </c>
    </row>
    <row r="59" spans="1:7">
      <c r="A59" s="6">
        <v>45566</v>
      </c>
      <c r="B59" s="7">
        <v>0.98</v>
      </c>
      <c r="C59" s="8">
        <v>2.97</v>
      </c>
      <c r="D59" s="9">
        <v>64.02</v>
      </c>
      <c r="E59">
        <f t="shared" si="0"/>
        <v>0.297</v>
      </c>
      <c r="F59">
        <f t="shared" si="1"/>
        <v>0.6402</v>
      </c>
      <c r="G59">
        <v>65</v>
      </c>
    </row>
    <row r="60" spans="1:7">
      <c r="A60" s="6">
        <v>45597</v>
      </c>
      <c r="B60" s="7">
        <v>0.98</v>
      </c>
      <c r="C60" s="8">
        <v>2.84</v>
      </c>
      <c r="D60" s="9">
        <v>64.13</v>
      </c>
      <c r="E60">
        <f t="shared" si="0"/>
        <v>0.284</v>
      </c>
      <c r="F60">
        <f t="shared" si="1"/>
        <v>0.6413</v>
      </c>
      <c r="G60">
        <v>65</v>
      </c>
    </row>
    <row r="61" spans="1:7">
      <c r="A61" s="6">
        <v>45627</v>
      </c>
      <c r="B61" s="7">
        <v>1</v>
      </c>
      <c r="C61" s="8">
        <v>2.81</v>
      </c>
      <c r="D61" s="9">
        <v>65.08</v>
      </c>
      <c r="E61">
        <f t="shared" si="0"/>
        <v>0.281</v>
      </c>
      <c r="F61">
        <f t="shared" si="1"/>
        <v>0.6508</v>
      </c>
      <c r="G61">
        <v>65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Lowell General Hospital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staff resp - fall by occupancy</vt:lpstr>
      <vt:lpstr>staff resp vs benchmark</vt:lpstr>
      <vt:lpstr>Case Study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Gawlik, Melissa</dc:creator>
  <cp:lastModifiedBy>SHUBHAM</cp:lastModifiedBy>
  <dcterms:created xsi:type="dcterms:W3CDTF">2022-03-29T16:40:00Z</dcterms:created>
  <dcterms:modified xsi:type="dcterms:W3CDTF">2026-04-15T05:57:24Z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8FC4CBE698794380B4D5E5AEED9FA7A2_12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